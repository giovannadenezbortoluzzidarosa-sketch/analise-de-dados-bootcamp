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gbortolu_emeal_nttdata_com/Documents/Documents/1) Docs - Giovanna/"/>
    </mc:Choice>
  </mc:AlternateContent>
  <xr:revisionPtr revIDLastSave="0" documentId="8_{F761A61B-A797-4064-AE55-14D30502304A}" xr6:coauthVersionLast="47" xr6:coauthVersionMax="47" xr10:uidLastSave="{00000000-0000-0000-0000-000000000000}"/>
  <bookViews>
    <workbookView xWindow="-110" yWindow="-110" windowWidth="19420" windowHeight="10300" xr2:uid="{243D0E7E-2935-4E70-A6AB-643CA5AD13FF}"/>
  </bookViews>
  <sheets>
    <sheet name="Analise Rendimentos" sheetId="1" r:id="rId1"/>
    <sheet name="Auxiliar" sheetId="2" r:id="rId2"/>
  </sheets>
  <definedNames>
    <definedName name="aporte">'Analise Rendimentos'!$D$14</definedName>
    <definedName name="patrimonio">'Analise Rendimentos'!$D$17</definedName>
    <definedName name="qnt_anos">'Analise Rendimentos'!$D$15</definedName>
    <definedName name="rendimento_carteira">'Analise Rendimentos'!$D$10</definedName>
    <definedName name="taxa_mensal">'Analise Rendimentos'!$D$16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D34" i="1" s="1"/>
  <c r="C35" i="1"/>
  <c r="D35" i="1" s="1"/>
  <c r="C36" i="1"/>
  <c r="D36" i="1" s="1"/>
  <c r="C37" i="1"/>
  <c r="D37" i="1" s="1"/>
  <c r="C38" i="1"/>
  <c r="D38" i="1" s="1"/>
  <c r="C33" i="1"/>
  <c r="D33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0" i="1"/>
  <c r="D17" i="1"/>
  <c r="D18" i="1" s="1"/>
  <c r="D11" i="1"/>
  <c r="C25" i="1"/>
  <c r="D25" i="1" s="1"/>
  <c r="C24" i="1"/>
  <c r="D24" i="1" s="1"/>
  <c r="C23" i="1"/>
  <c r="D23" i="1" s="1"/>
  <c r="C22" i="1"/>
  <c r="D22" i="1" s="1"/>
  <c r="C21" i="1"/>
  <c r="D21" i="1" s="1"/>
  <c r="D39" i="1" l="1"/>
</calcChain>
</file>

<file path=xl/sharedStrings.xml><?xml version="1.0" encoding="utf-8"?>
<sst xmlns="http://schemas.openxmlformats.org/spreadsheetml/2006/main" count="69" uniqueCount="35">
  <si>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</si>
  <si>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</si>
  <si>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</si>
  <si>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</si>
  <si>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</si>
  <si>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</si>
  <si>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</si>
  <si>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</si>
  <si>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</si>
  <si>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</si>
  <si>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Sugestão Investimento</t>
  </si>
  <si>
    <t>CONFIGURAÇÕES</t>
  </si>
  <si>
    <t>Quantos anos tem que investir?</t>
  </si>
  <si>
    <t>Qual a taxa de rendimento mensal?</t>
  </si>
  <si>
    <t>Quanto de patrimônio acumulado?</t>
  </si>
  <si>
    <t xml:space="preserve">Quanto é os dividendos mensais? </t>
  </si>
  <si>
    <t>Quanto investir por mês?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</si>
  <si>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</si>
  <si>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</si>
  <si>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</si>
  <si>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</si>
  <si>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</si>
  <si>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</si>
  <si>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</si>
  <si>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</si>
  <si>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</si>
  <si>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</si>
  <si>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</si>
  <si>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</si>
  <si>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Moderado</t>
  </si>
  <si>
    <t>Agressivo</t>
  </si>
  <si>
    <t>PERFIL</t>
  </si>
  <si>
    <t>TIPOS DE FII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</si>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</sst>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2" borderId="1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9" fontId="6" fillId="0" borderId="7" xfId="1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0" fontId="6" fillId="0" borderId="8" xfId="2" applyNumberFormat="1" applyFont="1" applyBorder="1" applyAlignment="1">
      <alignment horizontal="center" vertical="center"/>
    </xf>
    <xf numFmtId="169" fontId="6" fillId="3" borderId="8" xfId="0" applyNumberFormat="1" applyFont="1" applyFill="1" applyBorder="1" applyAlignment="1">
      <alignment horizontal="center"/>
    </xf>
    <xf numFmtId="169" fontId="6" fillId="3" borderId="9" xfId="0" applyNumberFormat="1" applyFont="1" applyFill="1" applyBorder="1" applyAlignment="1">
      <alignment horizontal="center"/>
    </xf>
    <xf numFmtId="169" fontId="5" fillId="3" borderId="19" xfId="1" applyNumberFormat="1" applyFont="1" applyFill="1" applyBorder="1" applyAlignment="1">
      <alignment horizontal="center" vertical="center"/>
    </xf>
    <xf numFmtId="169" fontId="5" fillId="3" borderId="20" xfId="1" applyNumberFormat="1" applyFont="1" applyFill="1" applyBorder="1" applyAlignment="1">
      <alignment horizontal="center" vertical="center"/>
    </xf>
    <xf numFmtId="169" fontId="5" fillId="3" borderId="22" xfId="1" applyNumberFormat="1" applyFont="1" applyFill="1" applyBorder="1" applyAlignment="1">
      <alignment horizontal="center" vertical="center"/>
    </xf>
    <xf numFmtId="169" fontId="5" fillId="3" borderId="23" xfId="1" applyNumberFormat="1" applyFont="1" applyFill="1" applyBorder="1" applyAlignment="1">
      <alignment horizontal="center" vertical="center"/>
    </xf>
    <xf numFmtId="169" fontId="5" fillId="3" borderId="25" xfId="1" applyNumberFormat="1" applyFont="1" applyFill="1" applyBorder="1" applyAlignment="1">
      <alignment horizontal="center" vertical="center"/>
    </xf>
    <xf numFmtId="169" fontId="5" fillId="3" borderId="26" xfId="1" applyNumberFormat="1" applyFont="1" applyFill="1" applyBorder="1" applyAlignment="1">
      <alignment horizontal="center" vertical="center"/>
    </xf>
    <xf numFmtId="169" fontId="5" fillId="0" borderId="16" xfId="1" applyNumberFormat="1" applyFont="1" applyBorder="1" applyAlignment="1">
      <alignment horizontal="center"/>
    </xf>
    <xf numFmtId="10" fontId="5" fillId="0" borderId="14" xfId="2" applyNumberFormat="1" applyFont="1" applyBorder="1" applyAlignment="1">
      <alignment horizontal="center"/>
    </xf>
    <xf numFmtId="169" fontId="5" fillId="0" borderId="15" xfId="0" applyNumberFormat="1" applyFont="1" applyBorder="1" applyAlignment="1">
      <alignment horizontal="center"/>
    </xf>
    <xf numFmtId="0" fontId="5" fillId="3" borderId="27" xfId="0" applyFont="1" applyFill="1" applyBorder="1" applyAlignment="1">
      <alignment horizontal="left" indent="3"/>
    </xf>
    <xf numFmtId="0" fontId="5" fillId="3" borderId="12" xfId="0" applyFont="1" applyFill="1" applyBorder="1" applyAlignment="1">
      <alignment horizontal="left" indent="3"/>
    </xf>
    <xf numFmtId="0" fontId="5" fillId="3" borderId="28" xfId="0" applyFont="1" applyFill="1" applyBorder="1" applyAlignment="1">
      <alignment horizontal="left" indent="3"/>
    </xf>
    <xf numFmtId="0" fontId="5" fillId="3" borderId="13" xfId="0" applyFont="1" applyFill="1" applyBorder="1" applyAlignment="1">
      <alignment horizontal="left" indent="3"/>
    </xf>
    <xf numFmtId="0" fontId="5" fillId="3" borderId="29" xfId="0" applyFont="1" applyFill="1" applyBorder="1" applyAlignment="1">
      <alignment horizontal="left" indent="3"/>
    </xf>
    <xf numFmtId="0" fontId="5" fillId="3" borderId="30" xfId="0" applyFont="1" applyFill="1" applyBorder="1" applyAlignment="1">
      <alignment horizontal="left" indent="3"/>
    </xf>
    <xf numFmtId="0" fontId="5" fillId="0" borderId="31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32" xfId="0" applyFont="1" applyBorder="1" applyAlignment="1">
      <alignment horizontal="left" indent="3"/>
    </xf>
    <xf numFmtId="0" fontId="5" fillId="0" borderId="6" xfId="0" applyFont="1" applyBorder="1" applyAlignment="1">
      <alignment horizontal="left" indent="3"/>
    </xf>
    <xf numFmtId="0" fontId="6" fillId="3" borderId="32" xfId="0" applyFont="1" applyFill="1" applyBorder="1" applyAlignment="1">
      <alignment horizontal="left" indent="3"/>
    </xf>
    <xf numFmtId="0" fontId="6" fillId="3" borderId="6" xfId="0" applyFont="1" applyFill="1" applyBorder="1" applyAlignment="1">
      <alignment horizontal="left" indent="3"/>
    </xf>
    <xf numFmtId="0" fontId="6" fillId="3" borderId="33" xfId="0" applyFont="1" applyFill="1" applyBorder="1" applyAlignment="1">
      <alignment horizontal="left" indent="3"/>
    </xf>
    <xf numFmtId="0" fontId="6" fillId="3" borderId="34" xfId="0" applyFont="1" applyFill="1" applyBorder="1" applyAlignment="1">
      <alignment horizontal="left" indent="3"/>
    </xf>
    <xf numFmtId="0" fontId="5" fillId="3" borderId="18" xfId="0" applyFont="1" applyFill="1" applyBorder="1" applyAlignment="1">
      <alignment horizontal="left" indent="3"/>
    </xf>
    <xf numFmtId="0" fontId="5" fillId="3" borderId="21" xfId="0" applyFont="1" applyFill="1" applyBorder="1" applyAlignment="1">
      <alignment horizontal="left" indent="3"/>
    </xf>
    <xf numFmtId="0" fontId="5" fillId="3" borderId="24" xfId="0" applyFont="1" applyFill="1" applyBorder="1" applyAlignment="1">
      <alignment horizontal="left" indent="3"/>
    </xf>
    <xf numFmtId="0" fontId="2" fillId="5" borderId="1" xfId="0" applyFont="1" applyFill="1" applyBorder="1"/>
    <xf numFmtId="0" fontId="0" fillId="5" borderId="2" xfId="0" applyFill="1" applyBorder="1"/>
    <xf numFmtId="0" fontId="2" fillId="3" borderId="3" xfId="0" applyFont="1" applyFill="1" applyBorder="1"/>
    <xf numFmtId="0" fontId="0" fillId="3" borderId="4" xfId="0" applyFill="1" applyBorder="1"/>
    <xf numFmtId="0" fontId="0" fillId="5" borderId="10" xfId="0" applyFill="1" applyBorder="1" applyAlignment="1">
      <alignment horizontal="center"/>
    </xf>
    <xf numFmtId="169" fontId="0" fillId="3" borderId="1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69" fontId="0" fillId="0" borderId="0" xfId="0" applyNumberFormat="1" applyAlignment="1">
      <alignment horizontal="center"/>
    </xf>
    <xf numFmtId="0" fontId="2" fillId="6" borderId="0" xfId="0" applyFont="1" applyFill="1" applyAlignment="1">
      <alignment horizontal="center"/>
    </xf>
    <xf numFmtId="169" fontId="2" fillId="6" borderId="0" xfId="0" applyNumberFormat="1" applyFont="1" applyFill="1" applyAlignment="1">
      <alignment horizontal="center"/>
    </xf>
    <xf numFmtId="0" fontId="0" fillId="0" borderId="11" xfId="0" applyBorder="1"/>
    <xf numFmtId="9" fontId="0" fillId="0" borderId="11" xfId="2" applyFont="1" applyBorder="1" applyAlignment="1">
      <alignment horizontal="center"/>
    </xf>
    <xf numFmtId="9" fontId="0" fillId="0" borderId="11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31750</xdr:colOff>
      <xdr:row>0</xdr:row>
      <xdr:rowOff>107950</xdr:rowOff>
    </xdr:from>
    <xdr:to>
      <xdr:col>3</xdr:col>
      <xdr:colOff>825500</xdr:colOff>
      <xdr:row>5</xdr:row>
      <xdr:rowOff>107950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7BA62B-8695-89B9-075F-EA80AE097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8" t="8125" r="1342" b="9379"/>
        <a:stretch>
          <a:fillRect/>
        </a:stretch>
      </xdr:blipFill>
      <xdr:spPr>
        <a:xfrm>
          <a:off x="228600" y="107950"/>
          <a:ext cx="6762750" cy="92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E5CF-335C-40DF-8B0B-C8621A7DA148}">
  <dimension ref="A7:I39"/>
  <sheetViews>
    <sheetView showGridLines="0" tabSelected="1" workbookViewId="0">
      <selection activeCell="D6" sqref="D6"/>
    </sheetView>
  </sheetViews>
  <sheetFormatPr defaultColWidth="0" defaultRowHeight="14.5" x14ac:dyDescent="0.35"/>
  <cols>
    <col min="1" max="1" width="2.81640625" bestFit="1" customWidth="1"/>
    <col min="2" max="2" width="40.36328125" bestFit="1" customWidth="1"/>
    <col min="3" max="3" width="45.08984375" customWidth="1"/>
    <col min="4" max="4" width="13.6328125" bestFit="1" customWidth="1"/>
    <col min="5" max="5" width="3.6328125" customWidth="1"/>
    <col min="6" max="9" width="3.6328125" hidden="1" customWidth="1"/>
    <col min="10" max="16384" width="8.7265625" hidden="1"/>
  </cols>
  <sheetData>
    <row r="7" spans="2:4" ht="15" thickBot="1" x14ac:dyDescent="0.4"/>
    <row r="8" spans="2:4" ht="18" customHeight="1" x14ac:dyDescent="0.35">
      <c r="B8" s="4" t="s">
        <v>11</v>
      </c>
      <c r="C8" s="6"/>
      <c r="D8" s="5"/>
    </row>
    <row r="9" spans="2:4" ht="16.5" thickBot="1" x14ac:dyDescent="0.45">
      <c r="B9" s="24" t="s">
        <v>8</v>
      </c>
      <c r="C9" s="25"/>
      <c r="D9" s="21">
        <v>5000</v>
      </c>
    </row>
    <row r="10" spans="2:4" ht="16.5" thickBot="1" x14ac:dyDescent="0.45">
      <c r="B10" s="26" t="s">
        <v>9</v>
      </c>
      <c r="C10" s="27"/>
      <c r="D10" s="22">
        <v>6.0000000000000001E-3</v>
      </c>
    </row>
    <row r="11" spans="2:4" ht="16.5" thickBot="1" x14ac:dyDescent="0.45">
      <c r="B11" s="28" t="s">
        <v>10</v>
      </c>
      <c r="C11" s="29"/>
      <c r="D11" s="23">
        <f>D9*30%</f>
        <v>1500</v>
      </c>
    </row>
    <row r="12" spans="2:4" ht="15" thickBot="1" x14ac:dyDescent="0.4"/>
    <row r="13" spans="2:4" ht="18" customHeight="1" x14ac:dyDescent="0.35">
      <c r="B13" s="7" t="s">
        <v>0</v>
      </c>
      <c r="C13" s="8"/>
      <c r="D13" s="9"/>
    </row>
    <row r="14" spans="2:4" ht="16" x14ac:dyDescent="0.4">
      <c r="B14" s="30" t="s">
        <v>16</v>
      </c>
      <c r="C14" s="31"/>
      <c r="D14" s="10">
        <v>500</v>
      </c>
    </row>
    <row r="15" spans="2:4" ht="16" x14ac:dyDescent="0.4">
      <c r="B15" s="32" t="s">
        <v>12</v>
      </c>
      <c r="C15" s="33"/>
      <c r="D15" s="11">
        <v>5</v>
      </c>
    </row>
    <row r="16" spans="2:4" ht="16" x14ac:dyDescent="0.4">
      <c r="B16" s="32" t="s">
        <v>13</v>
      </c>
      <c r="C16" s="33"/>
      <c r="D16" s="12">
        <v>1.0789999999999999E-2</v>
      </c>
    </row>
    <row r="17" spans="1:4" ht="16" x14ac:dyDescent="0.4">
      <c r="B17" s="34" t="s">
        <v>14</v>
      </c>
      <c r="C17" s="35"/>
      <c r="D17" s="13">
        <f>FV(taxa_mensal,qnt_anos*12,aporte*-1)</f>
        <v>41888.456999243819</v>
      </c>
    </row>
    <row r="18" spans="1:4" ht="16.5" thickBot="1" x14ac:dyDescent="0.45">
      <c r="B18" s="36" t="s">
        <v>15</v>
      </c>
      <c r="C18" s="37"/>
      <c r="D18" s="14">
        <f>patrimonio*rendimento_carteira</f>
        <v>251.33074199546292</v>
      </c>
    </row>
    <row r="19" spans="1:4" ht="15" thickBot="1" x14ac:dyDescent="0.4"/>
    <row r="20" spans="1:4" ht="18" customHeight="1" thickBot="1" x14ac:dyDescent="0.4">
      <c r="B20" s="7" t="s">
        <v>1</v>
      </c>
      <c r="C20" s="8"/>
      <c r="D20" s="3" t="s">
        <v>7</v>
      </c>
    </row>
    <row r="21" spans="1:4" ht="16.5" thickBot="1" x14ac:dyDescent="0.45">
      <c r="A21" s="2">
        <v>2</v>
      </c>
      <c r="B21" s="38" t="s">
        <v>2</v>
      </c>
      <c r="C21" s="15">
        <f>FV($D$16,A$21*12,D14*-1)</f>
        <v>13613.813648822608</v>
      </c>
      <c r="D21" s="16">
        <f>C21*rendimento_carteira</f>
        <v>81.682881892935654</v>
      </c>
    </row>
    <row r="22" spans="1:4" ht="16.5" thickBot="1" x14ac:dyDescent="0.45">
      <c r="A22" s="2">
        <v>5</v>
      </c>
      <c r="B22" s="39" t="s">
        <v>3</v>
      </c>
      <c r="C22" s="17">
        <f>FV($D$16,A$22*12,D14*-1)</f>
        <v>41888.456999243819</v>
      </c>
      <c r="D22" s="18">
        <f>C22*rendimento_carteira</f>
        <v>251.33074199546292</v>
      </c>
    </row>
    <row r="23" spans="1:4" ht="16.5" thickBot="1" x14ac:dyDescent="0.45">
      <c r="A23" s="2">
        <v>10</v>
      </c>
      <c r="B23" s="39" t="s">
        <v>4</v>
      </c>
      <c r="C23" s="17">
        <f>FV($D$16,A$23*12,D14*-1)</f>
        <v>121642.1062650861</v>
      </c>
      <c r="D23" s="18">
        <f>C23*rendimento_carteira</f>
        <v>729.85263759051657</v>
      </c>
    </row>
    <row r="24" spans="1:4" ht="16.5" thickBot="1" x14ac:dyDescent="0.45">
      <c r="A24" s="2">
        <v>20</v>
      </c>
      <c r="B24" s="39" t="s">
        <v>5</v>
      </c>
      <c r="C24" s="17">
        <f>FV($D$16,A$24*12,D14*-1)</f>
        <v>562599.20004854025</v>
      </c>
      <c r="D24" s="18">
        <f>C24*rendimento_carteira</f>
        <v>3375.5952002912418</v>
      </c>
    </row>
    <row r="25" spans="1:4" ht="16.5" thickBot="1" x14ac:dyDescent="0.45">
      <c r="A25" s="2">
        <v>30</v>
      </c>
      <c r="B25" s="40" t="s">
        <v>6</v>
      </c>
      <c r="C25" s="19">
        <f>FV($D$16,A$25*12,D14*-1)</f>
        <v>2161084.8275023573</v>
      </c>
      <c r="D25" s="20">
        <f>C25*rendimento_carteira</f>
        <v>12966.508965014144</v>
      </c>
    </row>
    <row r="28" spans="1:4" ht="15" thickBot="1" x14ac:dyDescent="0.4"/>
    <row r="29" spans="1:4" x14ac:dyDescent="0.35">
      <c r="B29" s="41" t="s">
        <v>17</v>
      </c>
      <c r="C29" s="45" t="s">
        <v>29</v>
      </c>
      <c r="D29" s="42"/>
    </row>
    <row r="30" spans="1:4" ht="15" thickBot="1" x14ac:dyDescent="0.4">
      <c r="B30" s="43" t="s">
        <v>18</v>
      </c>
      <c r="C30" s="46">
        <f>aporte</f>
        <v>500</v>
      </c>
      <c r="D30" s="44"/>
    </row>
    <row r="32" spans="1:4" x14ac:dyDescent="0.35">
      <c r="B32" s="50" t="s">
        <v>19</v>
      </c>
      <c r="C32" s="50" t="s">
        <v>20</v>
      </c>
      <c r="D32" s="50" t="s">
        <v>21</v>
      </c>
    </row>
    <row r="33" spans="2:4" x14ac:dyDescent="0.35">
      <c r="B33" s="1" t="s">
        <v>22</v>
      </c>
      <c r="C33" s="48">
        <f>VLOOKUP($C$29&amp;"-"&amp;B33,Auxiliar!A:D,4,)</f>
        <v>0.32</v>
      </c>
      <c r="D33" s="49">
        <f>C33*$C$30</f>
        <v>160</v>
      </c>
    </row>
    <row r="34" spans="2:4" x14ac:dyDescent="0.35">
      <c r="B34" s="1" t="s">
        <v>23</v>
      </c>
      <c r="C34" s="48">
        <f>VLOOKUP($C$29&amp;"-"&amp;B34,Auxiliar!A:D,4,)</f>
        <v>0.35</v>
      </c>
      <c r="D34" s="49">
        <f t="shared" ref="D34:D38" si="0">C34*$C$30</f>
        <v>175</v>
      </c>
    </row>
    <row r="35" spans="2:4" x14ac:dyDescent="0.35">
      <c r="B35" s="1" t="s">
        <v>24</v>
      </c>
      <c r="C35" s="48">
        <f>VLOOKUP($C$29&amp;"-"&amp;B35,Auxiliar!A:D,4,)</f>
        <v>0.08</v>
      </c>
      <c r="D35" s="49">
        <f t="shared" si="0"/>
        <v>40</v>
      </c>
    </row>
    <row r="36" spans="2:4" x14ac:dyDescent="0.35">
      <c r="B36" s="1" t="s">
        <v>25</v>
      </c>
      <c r="C36" s="48">
        <f>VLOOKUP($C$29&amp;"-"&amp;B36,Auxiliar!A:D,4,)</f>
        <v>0.05</v>
      </c>
      <c r="D36" s="49">
        <f t="shared" si="0"/>
        <v>25</v>
      </c>
    </row>
    <row r="37" spans="2:4" x14ac:dyDescent="0.35">
      <c r="B37" s="1" t="s">
        <v>26</v>
      </c>
      <c r="C37" s="48">
        <f>VLOOKUP($C$29&amp;"-"&amp;B37,Auxiliar!A:D,4,)</f>
        <v>0.1</v>
      </c>
      <c r="D37" s="49">
        <f t="shared" si="0"/>
        <v>50</v>
      </c>
    </row>
    <row r="38" spans="2:4" x14ac:dyDescent="0.35">
      <c r="B38" s="1" t="s">
        <v>27</v>
      </c>
      <c r="C38" s="48">
        <f>VLOOKUP($C$29&amp;"-"&amp;B38,Auxiliar!A:D,4,)</f>
        <v>0.1</v>
      </c>
      <c r="D38" s="49">
        <f t="shared" si="0"/>
        <v>50</v>
      </c>
    </row>
    <row r="39" spans="2:4" x14ac:dyDescent="0.35">
      <c r="B39" s="50"/>
      <c r="C39" s="50"/>
      <c r="D39" s="51">
        <f>SUM(D33:D38)</f>
        <v>500</v>
      </c>
    </row>
  </sheetData>
  <mergeCells count="11">
    <mergeCell ref="B15:C15"/>
    <mergeCell ref="B16:C16"/>
    <mergeCell ref="B17:C17"/>
    <mergeCell ref="B18:C18"/>
    <mergeCell ref="B20:C20"/>
    <mergeCell ref="B8:D8"/>
    <mergeCell ref="B9:C9"/>
    <mergeCell ref="B10:C10"/>
    <mergeCell ref="B11:C11"/>
    <mergeCell ref="B13:D13"/>
    <mergeCell ref="B14:C14"/>
  </mergeCells>
  <dataValidations count="1">
    <dataValidation type="list" allowBlank="1" showInputMessage="1" showErrorMessage="1" sqref="C29" xr:uid="{6BC8107C-CC57-4768-9FB0-21A1A33C35E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657A-1E93-4361-B565-3FED4056B783}">
  <dimension ref="A2:D20"/>
  <sheetViews>
    <sheetView workbookViewId="0">
      <selection activeCell="D13" sqref="D13"/>
    </sheetView>
  </sheetViews>
  <sheetFormatPr defaultRowHeight="14.5" x14ac:dyDescent="0.35"/>
  <cols>
    <col min="1" max="1" width="26" bestFit="1" customWidth="1"/>
    <col min="2" max="2" width="11.08984375" bestFit="1" customWidth="1"/>
    <col min="3" max="3" width="14.81640625" bestFit="1" customWidth="1"/>
  </cols>
  <sheetData>
    <row r="2" spans="1:4" x14ac:dyDescent="0.35">
      <c r="A2" t="s">
        <v>34</v>
      </c>
      <c r="B2" t="s">
        <v>31</v>
      </c>
      <c r="C2" t="s">
        <v>32</v>
      </c>
      <c r="D2" t="s">
        <v>33</v>
      </c>
    </row>
    <row r="3" spans="1:4" x14ac:dyDescent="0.35">
      <c r="A3" t="str">
        <f>B3&amp;"-"&amp;C3</f>
        <v>Conservador-Papel</v>
      </c>
      <c r="B3" t="s">
        <v>28</v>
      </c>
      <c r="C3" t="s">
        <v>22</v>
      </c>
      <c r="D3" s="48">
        <v>0.3</v>
      </c>
    </row>
    <row r="4" spans="1:4" x14ac:dyDescent="0.35">
      <c r="A4" t="str">
        <f t="shared" ref="A4:A20" si="0">B4&amp;"-"&amp;C4</f>
        <v>Conservador-Tijolo</v>
      </c>
      <c r="B4" t="s">
        <v>28</v>
      </c>
      <c r="C4" t="s">
        <v>23</v>
      </c>
      <c r="D4" s="48">
        <v>0.5</v>
      </c>
    </row>
    <row r="5" spans="1:4" x14ac:dyDescent="0.35">
      <c r="A5" t="str">
        <f t="shared" si="0"/>
        <v>Conservador-Híbridos</v>
      </c>
      <c r="B5" t="s">
        <v>28</v>
      </c>
      <c r="C5" t="s">
        <v>24</v>
      </c>
      <c r="D5" s="48">
        <v>0.1</v>
      </c>
    </row>
    <row r="6" spans="1:4" x14ac:dyDescent="0.35">
      <c r="A6" t="str">
        <f t="shared" si="0"/>
        <v>Conservador-FOFs</v>
      </c>
      <c r="B6" t="s">
        <v>28</v>
      </c>
      <c r="C6" t="s">
        <v>25</v>
      </c>
      <c r="D6" s="48">
        <v>0.1</v>
      </c>
    </row>
    <row r="7" spans="1:4" x14ac:dyDescent="0.35">
      <c r="A7" t="str">
        <f t="shared" si="0"/>
        <v>Conservador-Desenvolvimento</v>
      </c>
      <c r="B7" t="s">
        <v>28</v>
      </c>
      <c r="C7" t="s">
        <v>26</v>
      </c>
      <c r="D7" s="48">
        <v>0</v>
      </c>
    </row>
    <row r="8" spans="1:4" ht="15" thickBot="1" x14ac:dyDescent="0.4">
      <c r="A8" s="52" t="str">
        <f t="shared" si="0"/>
        <v>Conservador-Hotelarias</v>
      </c>
      <c r="B8" s="52" t="s">
        <v>28</v>
      </c>
      <c r="C8" s="52" t="s">
        <v>27</v>
      </c>
      <c r="D8" s="53">
        <v>0</v>
      </c>
    </row>
    <row r="9" spans="1:4" x14ac:dyDescent="0.35">
      <c r="A9" t="str">
        <f t="shared" si="0"/>
        <v>Moderado-Papel</v>
      </c>
      <c r="B9" t="s">
        <v>29</v>
      </c>
      <c r="C9" t="s">
        <v>22</v>
      </c>
      <c r="D9" s="47">
        <v>0.32</v>
      </c>
    </row>
    <row r="10" spans="1:4" x14ac:dyDescent="0.35">
      <c r="A10" t="str">
        <f t="shared" si="0"/>
        <v>Moderado-Tijolo</v>
      </c>
      <c r="B10" t="s">
        <v>29</v>
      </c>
      <c r="C10" t="s">
        <v>23</v>
      </c>
      <c r="D10" s="47">
        <v>0.35</v>
      </c>
    </row>
    <row r="11" spans="1:4" x14ac:dyDescent="0.35">
      <c r="A11" t="str">
        <f t="shared" si="0"/>
        <v>Moderado-Híbridos</v>
      </c>
      <c r="B11" t="s">
        <v>29</v>
      </c>
      <c r="C11" t="s">
        <v>24</v>
      </c>
      <c r="D11" s="47">
        <v>0.08</v>
      </c>
    </row>
    <row r="12" spans="1:4" x14ac:dyDescent="0.35">
      <c r="A12" t="str">
        <f t="shared" si="0"/>
        <v>Moderado-FOFs</v>
      </c>
      <c r="B12" t="s">
        <v>29</v>
      </c>
      <c r="C12" t="s">
        <v>25</v>
      </c>
      <c r="D12" s="47">
        <v>0.05</v>
      </c>
    </row>
    <row r="13" spans="1:4" x14ac:dyDescent="0.35">
      <c r="A13" t="str">
        <f t="shared" si="0"/>
        <v>Moderado-Desenvolvimento</v>
      </c>
      <c r="B13" t="s">
        <v>29</v>
      </c>
      <c r="C13" t="s">
        <v>26</v>
      </c>
      <c r="D13" s="47">
        <v>0.1</v>
      </c>
    </row>
    <row r="14" spans="1:4" ht="15" thickBot="1" x14ac:dyDescent="0.4">
      <c r="A14" s="52" t="str">
        <f t="shared" si="0"/>
        <v>Moderado-Hotelarias</v>
      </c>
      <c r="B14" s="52" t="s">
        <v>29</v>
      </c>
      <c r="C14" s="52" t="s">
        <v>27</v>
      </c>
      <c r="D14" s="54">
        <v>0.1</v>
      </c>
    </row>
    <row r="15" spans="1:4" x14ac:dyDescent="0.35">
      <c r="A15" t="str">
        <f t="shared" si="0"/>
        <v>Agressivo-Papel</v>
      </c>
      <c r="B15" t="s">
        <v>30</v>
      </c>
      <c r="C15" t="s">
        <v>22</v>
      </c>
      <c r="D15" s="47">
        <v>0.5</v>
      </c>
    </row>
    <row r="16" spans="1:4" x14ac:dyDescent="0.35">
      <c r="A16" t="str">
        <f t="shared" si="0"/>
        <v>Agressivo-Tijolo</v>
      </c>
      <c r="B16" t="s">
        <v>30</v>
      </c>
      <c r="C16" t="s">
        <v>23</v>
      </c>
      <c r="D16" s="47">
        <v>0.1</v>
      </c>
    </row>
    <row r="17" spans="1:4" x14ac:dyDescent="0.35">
      <c r="A17" t="str">
        <f t="shared" si="0"/>
        <v>Agressivo-Híbridos</v>
      </c>
      <c r="B17" t="s">
        <v>30</v>
      </c>
      <c r="C17" t="s">
        <v>24</v>
      </c>
      <c r="D17" s="47">
        <v>0.05</v>
      </c>
    </row>
    <row r="18" spans="1:4" x14ac:dyDescent="0.35">
      <c r="A18" t="str">
        <f t="shared" si="0"/>
        <v>Agressivo-FOFs</v>
      </c>
      <c r="B18" t="s">
        <v>30</v>
      </c>
      <c r="C18" t="s">
        <v>25</v>
      </c>
      <c r="D18" s="47">
        <v>0.05</v>
      </c>
    </row>
    <row r="19" spans="1:4" x14ac:dyDescent="0.35">
      <c r="A19" t="str">
        <f t="shared" si="0"/>
        <v>Agressivo-Desenvolvimento</v>
      </c>
      <c r="B19" t="s">
        <v>30</v>
      </c>
      <c r="C19" t="s">
        <v>26</v>
      </c>
      <c r="D19" s="47">
        <v>0.2</v>
      </c>
    </row>
    <row r="20" spans="1:4" x14ac:dyDescent="0.35">
      <c r="A20" t="str">
        <f t="shared" si="0"/>
        <v>Agressivo-Hotelarias</v>
      </c>
      <c r="B20" t="s">
        <v>30</v>
      </c>
      <c r="C20" t="s">
        <v>27</v>
      </c>
      <c r="D20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Analise Rendimentos</vt:lpstr>
      <vt:lpstr>Auxiliar</vt:lpstr>
      <vt:lpstr>aporte</vt:lpstr>
      <vt:lpstr>patrimonio</vt:lpstr>
      <vt:lpstr>qnt_anos</vt:lpstr>
      <vt:lpstr>rendimento_carteira</vt:lpstr>
      <vt:lpstr>taxa_mensal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Bortoluzzi Rosa</dc:creator>
  <cp:lastModifiedBy>Giovanna Bortoluzzi Rosa</cp:lastModifiedBy>
  <dcterms:created xsi:type="dcterms:W3CDTF">2026-10-14T17:35:55Z</dcterms:created>
  <dcterms:modified xsi:type="dcterms:W3CDTF">2026-10-15T13:32:14Z</dcterms:modified>
</cp:coreProperties>
</file>